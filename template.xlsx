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w Preparation\NMIMS\Books\Sem 4\Attendance\attendance-tool\"/>
    </mc:Choice>
  </mc:AlternateContent>
  <xr:revisionPtr revIDLastSave="0" documentId="13_ncr:1_{67DD49FF-15D5-4DF4-BCEB-6BB5B63706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 4 Curr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17" i="1"/>
  <c r="E17" i="1"/>
  <c r="G16" i="1"/>
  <c r="E16" i="1"/>
  <c r="G14" i="1"/>
  <c r="E14" i="1"/>
  <c r="G12" i="1"/>
  <c r="E12" i="1"/>
  <c r="G10" i="1"/>
  <c r="E10" i="1"/>
  <c r="G8" i="1"/>
  <c r="E8" i="1"/>
  <c r="G6" i="1"/>
  <c r="E6" i="1"/>
  <c r="G4" i="1"/>
  <c r="E4" i="1"/>
  <c r="G2" i="1"/>
  <c r="E2" i="1"/>
</calcChain>
</file>

<file path=xl/sharedStrings.xml><?xml version="1.0" encoding="utf-8"?>
<sst xmlns="http://schemas.openxmlformats.org/spreadsheetml/2006/main" count="26" uniqueCount="26">
  <si>
    <t>Sr. No.</t>
  </si>
  <si>
    <t>Subject</t>
  </si>
  <si>
    <t>Total Lectures Conducted</t>
  </si>
  <si>
    <t>Total Lectures Attended</t>
  </si>
  <si>
    <t xml:space="preserve">Cumulative Attendance </t>
  </si>
  <si>
    <t>Lectures Remaining</t>
  </si>
  <si>
    <t>Attendance Percentage</t>
  </si>
  <si>
    <t>Lectures to be Atended</t>
  </si>
  <si>
    <t>Dates Missed</t>
  </si>
  <si>
    <t>Company Law I T1 - Div. C</t>
  </si>
  <si>
    <t>Constitutional Law II T1 - Div. C</t>
  </si>
  <si>
    <t>The Bharatiya Nag Sur San,23 T1 - Div. C</t>
  </si>
  <si>
    <t>Family Law I T1 - Div. C</t>
  </si>
  <si>
    <t>Institutional Economics T1 - Div. C</t>
  </si>
  <si>
    <t>Constitutional Law II U1 - Div. C</t>
  </si>
  <si>
    <t>Public Policy &amp; Gov in India T1 - Div. C</t>
  </si>
  <si>
    <t>Access to Justice and Gov T1 - Div. C</t>
  </si>
  <si>
    <t>Company Law I U1 - Div. C</t>
  </si>
  <si>
    <t>The Bharatiya Nag Sur San,23 U1 - Div. C</t>
  </si>
  <si>
    <t>Institutional Economics U1 - Div. C</t>
  </si>
  <si>
    <t>Public Policy &amp; Gov in India U1 - Div. C</t>
  </si>
  <si>
    <t>History of Modern USA T1 - Div. C</t>
  </si>
  <si>
    <t>History of Modern USA U1 - Div. C</t>
  </si>
  <si>
    <t>Family Law I U1 - Div. C</t>
  </si>
  <si>
    <t>Environmental Sociology T1 - Div. C</t>
  </si>
  <si>
    <t>Environmental Sociology U1 - Div.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</si>
</sst>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/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7" xfId="0" applyFont="1" applyBorder="1"/>
    <xf numFmtId="2" fontId="1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9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8" xfId="0" applyFont="1" applyBorder="1"/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zoomScale="110" zoomScaleNormal="110" workbookViewId="0">
      <selection activeCell="I22" sqref="I22"/>
    </sheetView>
  </sheetViews>
  <sheetFormatPr defaultColWidth="12.6640625" defaultRowHeight="15.75" customHeight="1" x14ac:dyDescent="0.25"/>
  <cols>
    <col min="2" max="2" width="36.109375" bestFit="1" customWidth="1"/>
    <col min="9" max="9" width="39.109375" customWidth="1"/>
  </cols>
  <sheetData>
    <row r="1" spans="1:26" ht="39.6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2" x14ac:dyDescent="0.25">
      <c r="A2" s="29">
        <v>1</v>
      </c>
      <c r="B2" s="20" t="s">
        <v>13</v>
      </c>
      <c r="C2" s="5"/>
      <c r="D2" s="4"/>
      <c r="E2" s="25">
        <f>D2+D3</f>
        <v>0</v>
      </c>
      <c r="F2" s="2">
        <f>45-C2</f>
        <v>45</v>
      </c>
      <c r="G2" s="28" t="e">
        <f>(D2+D3)/(C2+C3)*100</f>
        <v>#DIV/0!</v>
      </c>
      <c r="H2" s="23">
        <v>42</v>
      </c>
      <c r="I2" s="2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2" x14ac:dyDescent="0.25">
      <c r="A3" s="26"/>
      <c r="B3" s="21" t="s">
        <v>19</v>
      </c>
      <c r="C3" s="7"/>
      <c r="D3" s="8"/>
      <c r="E3" s="26"/>
      <c r="F3" s="9">
        <f>15-C3</f>
        <v>15</v>
      </c>
      <c r="G3" s="24"/>
      <c r="H3" s="34"/>
      <c r="I3" s="2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2" x14ac:dyDescent="0.25">
      <c r="A4" s="29">
        <v>2</v>
      </c>
      <c r="B4" s="22" t="s">
        <v>21</v>
      </c>
      <c r="C4" s="5"/>
      <c r="D4" s="4"/>
      <c r="E4" s="25">
        <f>D4+D5</f>
        <v>0</v>
      </c>
      <c r="F4" s="10">
        <f>45-C4</f>
        <v>45</v>
      </c>
      <c r="G4" s="28" t="e">
        <f>(D4+D5)/(C4+C5)*100</f>
        <v>#DIV/0!</v>
      </c>
      <c r="H4" s="23">
        <v>42</v>
      </c>
      <c r="I4" s="2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2" x14ac:dyDescent="0.25">
      <c r="A5" s="26"/>
      <c r="B5" s="22" t="s">
        <v>22</v>
      </c>
      <c r="C5" s="7"/>
      <c r="D5" s="8"/>
      <c r="E5" s="26"/>
      <c r="F5" s="11">
        <f>15-C5</f>
        <v>15</v>
      </c>
      <c r="G5" s="24"/>
      <c r="H5" s="34"/>
      <c r="I5" s="2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 x14ac:dyDescent="0.25">
      <c r="A6" s="29">
        <v>3</v>
      </c>
      <c r="B6" s="20" t="s">
        <v>10</v>
      </c>
      <c r="C6" s="5"/>
      <c r="D6" s="4"/>
      <c r="E6" s="25">
        <f>D6+D7</f>
        <v>0</v>
      </c>
      <c r="F6" s="2">
        <f>45-C6</f>
        <v>45</v>
      </c>
      <c r="G6" s="28" t="e">
        <f>(D6+D7)/(C6+C7)*100</f>
        <v>#DIV/0!</v>
      </c>
      <c r="H6" s="23">
        <v>42</v>
      </c>
      <c r="I6" s="2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 x14ac:dyDescent="0.25">
      <c r="A7" s="26"/>
      <c r="B7" s="21" t="s">
        <v>14</v>
      </c>
      <c r="C7" s="7"/>
      <c r="D7" s="8"/>
      <c r="E7" s="26"/>
      <c r="F7" s="9">
        <f>15-C7</f>
        <v>15</v>
      </c>
      <c r="G7" s="24"/>
      <c r="H7" s="34"/>
      <c r="I7" s="2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 x14ac:dyDescent="0.25">
      <c r="A8" s="29">
        <v>4</v>
      </c>
      <c r="B8" s="22" t="s">
        <v>9</v>
      </c>
      <c r="C8" s="5"/>
      <c r="D8" s="4"/>
      <c r="E8" s="25">
        <f>D8+D9</f>
        <v>0</v>
      </c>
      <c r="F8" s="10">
        <f>45-C8</f>
        <v>45</v>
      </c>
      <c r="G8" s="28" t="e">
        <f>(D8+D9)/(C8+C9)*100</f>
        <v>#DIV/0!</v>
      </c>
      <c r="H8" s="23">
        <v>42</v>
      </c>
      <c r="I8" s="2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 x14ac:dyDescent="0.25">
      <c r="A9" s="26"/>
      <c r="B9" s="22" t="s">
        <v>17</v>
      </c>
      <c r="C9" s="7"/>
      <c r="D9" s="8"/>
      <c r="E9" s="26"/>
      <c r="F9" s="11">
        <f>15-C9</f>
        <v>15</v>
      </c>
      <c r="G9" s="24"/>
      <c r="H9" s="34"/>
      <c r="I9" s="2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 x14ac:dyDescent="0.25">
      <c r="A10" s="29">
        <v>5</v>
      </c>
      <c r="B10" s="20" t="s">
        <v>12</v>
      </c>
      <c r="C10" s="5"/>
      <c r="D10" s="4"/>
      <c r="E10" s="25">
        <f>D10+D11</f>
        <v>0</v>
      </c>
      <c r="F10" s="2">
        <f>60-C10</f>
        <v>60</v>
      </c>
      <c r="G10" s="31" t="e">
        <f>(D10+D11)/(C10+C11)*100</f>
        <v>#DIV/0!</v>
      </c>
      <c r="H10" s="23">
        <v>53</v>
      </c>
      <c r="I10" s="2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 x14ac:dyDescent="0.25">
      <c r="A11" s="26"/>
      <c r="B11" s="21" t="s">
        <v>23</v>
      </c>
      <c r="C11" s="7"/>
      <c r="D11" s="8"/>
      <c r="E11" s="26"/>
      <c r="F11" s="9">
        <f>15-C11</f>
        <v>15</v>
      </c>
      <c r="G11" s="24"/>
      <c r="H11" s="34"/>
      <c r="I11" s="2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2" x14ac:dyDescent="0.25">
      <c r="A12" s="29">
        <v>6</v>
      </c>
      <c r="B12" s="22" t="s">
        <v>11</v>
      </c>
      <c r="C12" s="5"/>
      <c r="D12" s="4"/>
      <c r="E12" s="25">
        <f>D12+D13</f>
        <v>0</v>
      </c>
      <c r="F12" s="10">
        <f>60-C12</f>
        <v>60</v>
      </c>
      <c r="G12" s="28" t="e">
        <f>(D12+D13)/(C12+C13)*100</f>
        <v>#DIV/0!</v>
      </c>
      <c r="H12" s="23">
        <v>53</v>
      </c>
      <c r="I12" s="2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 x14ac:dyDescent="0.25">
      <c r="A13" s="30"/>
      <c r="B13" s="22" t="s">
        <v>18</v>
      </c>
      <c r="C13" s="3"/>
      <c r="D13" s="12"/>
      <c r="E13" s="26"/>
      <c r="F13" s="11">
        <f>15-C13</f>
        <v>15</v>
      </c>
      <c r="G13" s="33"/>
      <c r="H13" s="34"/>
      <c r="I13" s="2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 x14ac:dyDescent="0.25">
      <c r="A14" s="29">
        <v>7</v>
      </c>
      <c r="B14" s="20" t="s">
        <v>15</v>
      </c>
      <c r="C14" s="5"/>
      <c r="D14" s="4"/>
      <c r="E14" s="25">
        <f>D14+D15</f>
        <v>0</v>
      </c>
      <c r="F14" s="2">
        <f>45-C14</f>
        <v>45</v>
      </c>
      <c r="G14" s="28" t="e">
        <f>(D14+D15)/(C14+C15)*100</f>
        <v>#DIV/0!</v>
      </c>
      <c r="H14" s="23">
        <v>42</v>
      </c>
      <c r="I14" s="2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 x14ac:dyDescent="0.25">
      <c r="A15" s="26"/>
      <c r="B15" s="21" t="s">
        <v>20</v>
      </c>
      <c r="C15" s="7"/>
      <c r="D15" s="8"/>
      <c r="E15" s="26"/>
      <c r="F15" s="9">
        <f>15-C15</f>
        <v>15</v>
      </c>
      <c r="G15" s="24"/>
      <c r="H15" s="34"/>
      <c r="I15" s="2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 x14ac:dyDescent="0.25">
      <c r="A16" s="8">
        <v>8</v>
      </c>
      <c r="B16" s="22" t="s">
        <v>16</v>
      </c>
      <c r="C16" s="3"/>
      <c r="D16" s="12"/>
      <c r="E16" s="13">
        <f>D16+0</f>
        <v>0</v>
      </c>
      <c r="F16" s="10">
        <f>30-C16</f>
        <v>30</v>
      </c>
      <c r="G16" s="14" t="e">
        <f>D16/C16*100</f>
        <v>#DIV/0!</v>
      </c>
      <c r="H16" s="15">
        <v>21</v>
      </c>
      <c r="I16" s="1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 x14ac:dyDescent="0.25">
      <c r="A17" s="29">
        <v>9</v>
      </c>
      <c r="B17" s="20" t="s">
        <v>24</v>
      </c>
      <c r="C17" s="5"/>
      <c r="D17" s="6"/>
      <c r="E17" s="32">
        <f>D17+D18</f>
        <v>0</v>
      </c>
      <c r="F17" s="2">
        <f>45-C17</f>
        <v>45</v>
      </c>
      <c r="G17" s="31" t="e">
        <f>(D17+D18)/(C17+C18)*100</f>
        <v>#DIV/0!</v>
      </c>
      <c r="H17" s="23">
        <v>42</v>
      </c>
      <c r="I17" s="2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 x14ac:dyDescent="0.25">
      <c r="A18" s="26"/>
      <c r="B18" s="21" t="s">
        <v>25</v>
      </c>
      <c r="C18" s="7"/>
      <c r="D18" s="9"/>
      <c r="E18" s="27"/>
      <c r="F18" s="9">
        <f>15-C18</f>
        <v>15</v>
      </c>
      <c r="G18" s="24"/>
      <c r="H18" s="34"/>
      <c r="I18" s="2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 x14ac:dyDescent="0.25">
      <c r="A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 x14ac:dyDescent="0.25">
      <c r="A20" s="3"/>
      <c r="B20" s="17"/>
      <c r="C20" s="3"/>
      <c r="D20" s="18"/>
      <c r="E20" s="3"/>
      <c r="F20" s="1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 x14ac:dyDescent="0.25">
      <c r="A21" s="17"/>
      <c r="B21" s="19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 x14ac:dyDescent="0.25">
      <c r="A22" s="17"/>
      <c r="B22" s="3"/>
      <c r="C22" s="3"/>
      <c r="D22" s="3"/>
      <c r="E22" s="3"/>
      <c r="F22" s="3"/>
      <c r="G22" s="3"/>
      <c r="H22" s="3"/>
      <c r="I22" s="17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 x14ac:dyDescent="0.25">
      <c r="A23" s="1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 x14ac:dyDescent="0.25">
      <c r="A25" s="3"/>
      <c r="B25" s="17"/>
      <c r="C25" s="17"/>
      <c r="D25" s="17"/>
      <c r="E25" s="17"/>
      <c r="F25" s="17"/>
      <c r="G25" s="1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.75" customHeight="1" x14ac:dyDescent="0.25">
      <c r="A26" s="3"/>
      <c r="B26" s="3"/>
      <c r="C26" s="3"/>
      <c r="D26" s="3"/>
      <c r="E26" s="3"/>
      <c r="F26" s="3"/>
      <c r="G26" s="1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.75" customHeight="1" x14ac:dyDescent="0.25">
      <c r="A27" s="3"/>
      <c r="B27" s="3"/>
      <c r="C27" s="3"/>
      <c r="D27" s="3"/>
      <c r="E27" s="3"/>
      <c r="F27" s="3"/>
      <c r="G27" s="1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75" customHeight="1" x14ac:dyDescent="0.25">
      <c r="A28" s="3"/>
      <c r="B28" s="3"/>
      <c r="C28" s="3"/>
      <c r="D28" s="3"/>
      <c r="E28" s="3"/>
      <c r="F28" s="3"/>
      <c r="G28" s="1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" customHeight="1" x14ac:dyDescent="0.25">
      <c r="A29" s="3"/>
      <c r="B29" s="3"/>
      <c r="C29" s="3"/>
      <c r="D29" s="3"/>
      <c r="E29" s="3"/>
      <c r="F29" s="3"/>
      <c r="G29" s="1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2.5" customHeight="1" x14ac:dyDescent="0.25">
      <c r="A30" s="3"/>
      <c r="B30" s="3"/>
      <c r="C30" s="3"/>
      <c r="D30" s="3"/>
      <c r="E30" s="3"/>
      <c r="F30" s="3"/>
      <c r="G30" s="1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" customHeight="1" x14ac:dyDescent="0.25">
      <c r="A31" s="3"/>
      <c r="B31" s="3"/>
      <c r="C31" s="3"/>
      <c r="D31" s="3"/>
      <c r="E31" s="3"/>
      <c r="F31" s="3"/>
      <c r="G31" s="1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" customHeight="1" x14ac:dyDescent="0.25">
      <c r="A32" s="3"/>
      <c r="B32" s="3"/>
      <c r="C32" s="3"/>
      <c r="D32" s="3"/>
      <c r="E32" s="3"/>
      <c r="F32" s="3"/>
      <c r="G32" s="1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" customHeight="1" x14ac:dyDescent="0.25">
      <c r="A33" s="3"/>
      <c r="B33" s="3"/>
      <c r="C33" s="3"/>
      <c r="D33" s="3"/>
      <c r="E33" s="3"/>
      <c r="F33" s="3"/>
      <c r="G33" s="1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6.25" customHeight="1" x14ac:dyDescent="0.25">
      <c r="A34" s="3"/>
      <c r="B34" s="3"/>
      <c r="C34" s="3"/>
      <c r="D34" s="3"/>
      <c r="E34" s="3"/>
      <c r="F34" s="3"/>
      <c r="G34" s="1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2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.2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.2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40">
    <mergeCell ref="I12:I13"/>
    <mergeCell ref="E10:E11"/>
    <mergeCell ref="E12:E13"/>
    <mergeCell ref="H17:H18"/>
    <mergeCell ref="I17:I18"/>
    <mergeCell ref="E17:E18"/>
    <mergeCell ref="I14:I15"/>
    <mergeCell ref="G10:G11"/>
    <mergeCell ref="G12:G13"/>
    <mergeCell ref="I8:I9"/>
    <mergeCell ref="E6:E7"/>
    <mergeCell ref="E8:E9"/>
    <mergeCell ref="G8:G9"/>
    <mergeCell ref="G6:G7"/>
    <mergeCell ref="G17:G18"/>
    <mergeCell ref="A12:A13"/>
    <mergeCell ref="A14:A15"/>
    <mergeCell ref="A17:A18"/>
    <mergeCell ref="A10:A11"/>
    <mergeCell ref="E14:E15"/>
    <mergeCell ref="H14:H15"/>
    <mergeCell ref="A4:A5"/>
    <mergeCell ref="H6:H7"/>
    <mergeCell ref="I6:I7"/>
    <mergeCell ref="A6:A7"/>
    <mergeCell ref="A8:A9"/>
    <mergeCell ref="H10:H11"/>
    <mergeCell ref="I10:I11"/>
    <mergeCell ref="G14:G15"/>
    <mergeCell ref="H12:H13"/>
    <mergeCell ref="A2:A3"/>
    <mergeCell ref="G2:G3"/>
    <mergeCell ref="H2:H3"/>
    <mergeCell ref="H8:H9"/>
    <mergeCell ref="I2:I3"/>
    <mergeCell ref="E2:E3"/>
    <mergeCell ref="E4:E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4 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LP792</cp:lastModifiedBy>
  <dcterms:modified xsi:type="dcterms:W3CDTF">2026-03-14T19:56:54Z</dcterms:modified>
</cp:coreProperties>
</file>